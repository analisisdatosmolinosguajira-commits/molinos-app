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s Bonivento B\Downloads\"/>
    </mc:Choice>
  </mc:AlternateContent>
  <xr:revisionPtr revIDLastSave="0" documentId="13_ncr:1_{9359500B-4B5C-45D4-90AD-F03A82DDC5BB}" xr6:coauthVersionLast="47" xr6:coauthVersionMax="47" xr10:uidLastSave="{00000000-0000-0000-0000-000000000000}"/>
  <bookViews>
    <workbookView xWindow="-120" yWindow="-120" windowWidth="20730" windowHeight="11160" activeTab="1" xr2:uid="{5EA39D41-F692-4BE8-AC48-CC8A61AF374A}"/>
  </bookViews>
  <sheets>
    <sheet name="Consolidado" sheetId="1" r:id="rId1"/>
    <sheet name="RESUMEN" sheetId="2" r:id="rId2"/>
  </sheets>
  <definedNames>
    <definedName name="_xlnm._FilterDatabase" localSheetId="0" hidden="1">Consolidado!$A$1:$AE$26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 i="1"/>
  <c r="L21" i="1"/>
  <c r="L20" i="1"/>
  <c r="L19" i="1"/>
  <c r="L18" i="1"/>
  <c r="L16" i="1"/>
  <c r="L13" i="1"/>
  <c r="L12" i="1"/>
  <c r="L11" i="1"/>
  <c r="L10" i="1"/>
  <c r="L7" i="1"/>
  <c r="L6" i="1"/>
  <c r="L5" i="1"/>
  <c r="L4" i="1"/>
  <c r="L2" i="1"/>
  <c r="L3" i="1"/>
</calcChain>
</file>

<file path=xl/sharedStrings.xml><?xml version="1.0" encoding="utf-8"?>
<sst xmlns="http://schemas.openxmlformats.org/spreadsheetml/2006/main" count="280" uniqueCount="166">
  <si>
    <t>MUNICIPIO</t>
  </si>
  <si>
    <t>COMUNIDAD</t>
  </si>
  <si>
    <t>COORDENADAS</t>
  </si>
  <si>
    <t>SEMANA DE LA INTERVENCION</t>
  </si>
  <si>
    <t>CATEGORIA</t>
  </si>
  <si>
    <t>ACTIVIDADES DE MANTENIMIENTO REALIZADAS</t>
  </si>
  <si>
    <t>FECHA DE INICIO DE INTERVENCION</t>
  </si>
  <si>
    <t>FECHA DE FINALIZACION DE INTERVENCION</t>
  </si>
  <si>
    <t>FECHA DE PRIMERA INTERVENCION 2025</t>
  </si>
  <si>
    <t>OBSERVACIONES</t>
  </si>
  <si>
    <t>DIFERENCIA EN MESES</t>
  </si>
  <si>
    <t>APLICA META?</t>
  </si>
  <si>
    <t>SEMANA</t>
  </si>
  <si>
    <t>MES</t>
  </si>
  <si>
    <t>RIOHACHA</t>
  </si>
  <si>
    <t>Kousatchon</t>
  </si>
  <si>
    <t>11.406198, -72.891708</t>
  </si>
  <si>
    <t>Semana 1 (18 al 21 de febrero)</t>
  </si>
  <si>
    <t>MANTENIMIENTO GENERAL</t>
  </si>
  <si>
    <t>CAMBIO DE SISTEMA DE BOMBEO: BOMBA + TUBOS 7 INF + 2 SUP; NIVEL FREATICO 38 MTS; CAMBIO DE TUBERÍA PVC; CAMBIO DE ACEITE; PINTURA; CAMBIO DE PLATAFORMA; DESINSTALACION E INSTALACIÓN DE BOMBA ELECTRICA SUMERGIBLE.</t>
  </si>
  <si>
    <t>N/A</t>
  </si>
  <si>
    <t>MANAURE</t>
  </si>
  <si>
    <t>WAYUPIA</t>
  </si>
  <si>
    <t>11.611124, -72.409207</t>
  </si>
  <si>
    <t>REINTERVENCION</t>
  </si>
  <si>
    <t>CAMBIO BOMBA USANDO MISMOS TUBOS, 5 INF + 2 SUP; NIVEL FREATICO 25 MTS; CAMBIO DE 1 VARILLA POR DESGASTE; INSTALACION DE CENTRADOR DE TUBO; RESTAURACION DE SISTEMA DE FRENO; CAMBIO DE ACEITE.</t>
  </si>
  <si>
    <t>REPORTE DE FALLA: NO HAY AGUA, POSIBLE FALLA DE BOMBA</t>
  </si>
  <si>
    <t>SI</t>
  </si>
  <si>
    <t>PIOLEKAT</t>
  </si>
  <si>
    <t>11.548559,-72.419186</t>
  </si>
  <si>
    <t>Semana 2 (25 al 28 de febrero)</t>
  </si>
  <si>
    <t xml:space="preserve">DESMONTAJE DE SISTEMA ROTOR (JUEGOS DE ASPAS Y RADIOS) QUE ESTABA A PUNTO DE CAER POR FALLA/ROTURA DE LA MANZANA DEL ROTOR.
MOLINO INOPERATIVO HASTA CONSEGUIR MANZANA
</t>
  </si>
  <si>
    <t>REPORTE DE FALLA: SISTEMA ROTOR A PUNTO DE CAERSE</t>
  </si>
  <si>
    <t>NO</t>
  </si>
  <si>
    <t>Maicao</t>
  </si>
  <si>
    <t>Ceura 2</t>
  </si>
  <si>
    <t>11.429428, 72.491752</t>
  </si>
  <si>
    <t>Semana 2 (25 al 28 de febrero)
Semana 3 (3 al 7 de marzo)</t>
  </si>
  <si>
    <t>CAMBIO DE SISTEMA DE BOMBEO: BOMBA + TUBOS 5 INF + 2 SUP; NIVEL FREATICO 28 MTS; CAMBIO DE TUBERÍA PVC; CAMBIO DE ACEITE; PINTURA; CAMBIO DE PLATAFORMA; RECONSTRUCCION DE PEDESTAL.</t>
  </si>
  <si>
    <t>ISASHIMANA</t>
  </si>
  <si>
    <t>11.747956,-72.400545</t>
  </si>
  <si>
    <t>DESMONTAJE DE ASPAS DAÑADAS Y MONTAJE DE NUEVO JUEGO DE 3 ASPAS; RESTAURACION DE SISTEMA DE FRENO CON NUEVAS PLATINAS Y CAMBIO DE GUAYA. CAMBIO DE PLATAFORMA Y CAMBIO DE ACEITE.</t>
  </si>
  <si>
    <t>REPORTE DE FALLA: FALLA EN ROTOR, SE CALLERON 3 ASPAS Y SE DAÑO EL FRENO</t>
  </si>
  <si>
    <t>SAN MARTIN PULOI</t>
  </si>
  <si>
    <t>11.728785,-72.508326</t>
  </si>
  <si>
    <t>Semana 3 (3 al 7 de marzo)</t>
  </si>
  <si>
    <t>CAMBIO BOMBA USANDO MISMOS TUBOS, 3 INF + 1 SUP; NIVEL FREATICO 15 MTS; CAMBIO DE 1 VARILLA; REAJUSTE DE SISTEMA DE FRENO.</t>
  </si>
  <si>
    <t>REPORTE DE FALLA: NO HAY SUMINISTRO DE AGUA</t>
  </si>
  <si>
    <t>MAICAO</t>
  </si>
  <si>
    <t>MAICAITO</t>
  </si>
  <si>
    <t>Se completa el esquema de recubrimiento anticorrosivo de la estructua, Se instala varilla L faltante y pernos en el sistema de freno. Se prueba y lubrica el sistema de freno y se deja completamente funcional. Se instala varilla de mando en el convertidor. Se realiza prueba de funcionamiento. Molino 100% operativo y funcional. Se notifica a la autoridad y realiza entrega. Varillas de 1/2"</t>
  </si>
  <si>
    <t>JAGUAIPIA</t>
  </si>
  <si>
    <t>11.619247,-72.802643</t>
  </si>
  <si>
    <t>Semana 4 (10 al 14 de marzo)</t>
  </si>
  <si>
    <t xml:space="preserve">SE REALIZA REEMPLAZO DE TUNBERIAS, VARILLAS Y BOMBA ( 2 TUBOS INFERIOIRES Y 1.5 SUPERIORES, BOMBA INSERTADA ES NUEVA) Se realizó trabajo de pintura, aspas y estructura además de el pedestal. Bomba instalada  de las nuevas braewin, Se cambió PVC.  </t>
  </si>
  <si>
    <t>AMALINA 2</t>
  </si>
  <si>
    <t>11.42969, -72.50631</t>
  </si>
  <si>
    <t>REINTERVENCION  DEL SISTEMA DE FRENO, SE ENCUENTRA SUELTA POR UN PERNO LA PIEZA 609 DEL SISTEMA DE FRENO. Y SE HACE REMPLAZO DE PERNOS Y SE REALIZA AJUSTE DE GUAYA DE FRENO</t>
  </si>
  <si>
    <t>REPORTE DE FALLA: NO FRENA, SE SOLTÓ UNA VARILLA</t>
  </si>
  <si>
    <t>no</t>
  </si>
  <si>
    <t>MUSICHI</t>
  </si>
  <si>
    <t>Cambio de bomba por sabotaje, le tiraron hierros y baterias por dentro de los tubos para dañar la bomba</t>
  </si>
  <si>
    <t>REPORTE DE FALLA: NO BOMBEA AGUA</t>
  </si>
  <si>
    <t>COUSEPA</t>
  </si>
  <si>
    <t>Durante la inspección inicial, el molino de viento se encontró en estado operativo; sin embargo, se evidenció presencia de agua turbia, indicativa de procesos de corrosión interna en la tubería.
Se realizó la extracción de la tubería y la bomba, efectuando el reemplazo de los componentes afectados. Durante esta actividad, se presentó daño en uno de los pernos del pedestal, lo que obligó a ejecutar la reparación de los pernos de anclaje para garantizar la estabilidad estructural del sistema. Asimismo, se completó el esquema de recubrimiento y pintura del molino. El sistema quedó configurado con dos (2) tubos por debajo del nivel del flange.
Como resultado de la intervención, el molino quedó en condiciones óptimas de operación (100% funcional).
Varillas de 1/2"</t>
  </si>
  <si>
    <t>En días posteriores, la comunidad reportó una disminución en el flujo de agua. Se realizó inspección técnica mediante apertura de la unión universal, evidenciándose un flujo adecuado en el sistema. Se determinó que la reducción del caudal hacia la comunidad obedecía a derivaciones externas en la red de conducción y no a fallas en el funcionamiento del molino.</t>
  </si>
  <si>
    <t>JASAIKAT GUADALUPE</t>
  </si>
  <si>
    <t>11.734352,-72.509422</t>
  </si>
  <si>
    <t>Semana 5 (17 al 21 de marzo)</t>
  </si>
  <si>
    <t>REINTERVENCION POR REQUERIMIENTO E BOBA DE 4" QUE TENIA IGUALMENTE EL POZO, SE REALIZA EXTRACCION DE TUBERIA 3 TUBOS INFERIORES Y 1'5 TUBOS SUPERIORES</t>
  </si>
  <si>
    <t>REPORTE DE FALLA: QUIEREN QUE LE COLOQUEN SU BOMBA ANTIGUA DE 4"</t>
  </si>
  <si>
    <t>si</t>
  </si>
  <si>
    <t>KEWIRRASHI</t>
  </si>
  <si>
    <t>11.438755,-72.865612</t>
  </si>
  <si>
    <t>SE REALIZA REEMPLAZO DE TUBERIA, VARILLAS Y BOMBA, BOMBA INSERTADA ES RESTAURADA EN EL SENA, EL FLANCHE SE REALIZO CAMBIO, SE REALIZA AJUSTE DE VINCHA, SE INSTALA CENTRADOR DE 140CM. SE REALIZO TEMAS DE PINTURA EN ASPAS ROTOR Y PEDESTAL. CAMBIO DE PVC</t>
  </si>
  <si>
    <t>JALUAPIA 2</t>
  </si>
  <si>
    <t xml:space="preserve">Durante la inspección inicial, se evidenció que el molino de viento se encontraba operativo, pero con alto nivel de desgaste en sus componentes.
En el proceso de extracción de la tubería, se presentó el colapso del pedestal, lo que hizo necesaria la ejecución de actividades de reparación de obra civil para restablecer la base estructural del sistema. Se realizó la reparación de una de las esquinas del pedestal, tomando como referencia la estructura existente.
Posteriormente, se efectuó el cambio de la tubería y la bomba, garantizando la recuperación del sistema hidráulico. De igual manera, se completó el esquema de recubrimiento y pintura del molino, con el fin de mejorar la protección contra agentes ambientales.
Como resultado de la intervención, el sistema quedó en condiciones óptimas de operación (100% funcional) y fue entregado formalmente a la comunidad.
(4) tubos debajo de nivel de flanche. Varillas de 1/2"
</t>
  </si>
  <si>
    <t>Semana 6 (25 al 28 de marzo)</t>
  </si>
  <si>
    <t>REINTERVENCION POR REQUERIMIENTO DE CAMBIO DE BOMBA DE 4" PORQUE LA ANTERIOR FALLO, SE REALIZA EXTRACCION DE TUBERIA 3 TUBOS INFERIORES Y 1'5 TUBOS SUPERIORES</t>
  </si>
  <si>
    <t>TOLOPONAKAT</t>
  </si>
  <si>
    <t>11.447700,-72.885305</t>
  </si>
  <si>
    <t>Semana 6 (25 al 28 de marzo)
Semana 7 (8 al 11 de abril)</t>
  </si>
  <si>
    <t>Durante la inspección inicial, se evidenció que el molino de viento se encontraba fuera de servicio desde hace aproximadamente tres (3) meses, debido a fallas mecánicas y estructurales.
Se ejecutaron actividades de mantenimiento correctivo, incluyendo la reparación de la guaya del sistema de freno y la intervención estructural de una pata de la torre mediante soldadura. Asimismo, se realizó la reparación de los cuatro (4) pernos de sujeción del flange.
En el sistema hidráulico, se efectuó el cambio de la tubería y la bomba (restaurada en el SENA), con instalación de cinco (5) tubos en la línea de descenso desde flanche y reparación de tramos en PVC. Adicionalmente, se tomó recorrido y aplicación de pintura protectora.
El sistema quedó en condiciones óptimas de operación (100% funcional) y fue entregado formalmente a la comunidad. Varillas de 1/2"</t>
  </si>
  <si>
    <t>URIBIA</t>
  </si>
  <si>
    <t>CHUPUTCHI</t>
  </si>
  <si>
    <t>11.553948, -72.318472</t>
  </si>
  <si>
    <t>Semana 7 (8 al 11 de abril)</t>
  </si>
  <si>
    <t xml:space="preserve">SE REALIZA REEMPLAZO DE TUNBERIAS, VARILLAS Y BOMBA ( 6 TUBOS INFERIOIRES Y 1.5 SUPERIORES, BOMBA INSERTADA ES NUEVA) Se realizó trabajo de pintura, aspas y estructura además de el pedestal. Bomba instalada  de las nuevas braewin, Se cambió PVC.  </t>
  </si>
  <si>
    <t>1er dia sin bomba
Curso de alturas (-3 integrantes)</t>
  </si>
  <si>
    <t>BOTONCHON</t>
  </si>
  <si>
    <t>11.534742, -72.305633</t>
  </si>
  <si>
    <t>Semana 8 (13 al 18 de abril)</t>
  </si>
  <si>
    <t xml:space="preserve">SE REALIZA REEMPLAZO DE TUNBERIAS, VARILLAS Y BOMBA ( 25TUBOS INFERIOIRES Y 1.5 SUPERIORES, BOMBA INSERTADA ES NUEVA) Se realizó trabajo de pintura, aspas y estructura además de el pedestal. Bomba instalada  de las nuevas braewin, Se cambió PVC.  </t>
  </si>
  <si>
    <t>13 normal
14 alertan el paro armado
15 y 16 no se viaja
17  se termina</t>
  </si>
  <si>
    <t>HIOTSHI</t>
  </si>
  <si>
    <t>Se arregla freno y si tenian agua.</t>
  </si>
  <si>
    <t>REPORTE DE FALLA: Reportan no tener agua, ni freno
Dia 18 no se viaja / Jornada de taller</t>
  </si>
  <si>
    <t>URIBIA (ALTA GUAJIRA)</t>
  </si>
  <si>
    <t>KASUSPA</t>
  </si>
  <si>
    <t>11.924928, -72.668642</t>
  </si>
  <si>
    <t>Semana 9 (20 al 25 de abril)</t>
  </si>
  <si>
    <t xml:space="preserve">Cambio de sistema de bombeo 10 tubos inferiores y 1 superior, con varilla de 14mm e instalación de bomba nueva. 
La veleta se encontraba colgando del resorte y de la varilla del amortiguador de veleta. Así que es desmontada para soldar ángulos nuevos en cada punta con los respectivos agujeros por dónde va el pasador de veleta. El pasador de veleta es restaurado con soldadura en la punta por desgaste. El amortiguador de veleta también es desarmado y restaurado al desdoblar y soldar piezas. El resorte de veleta se instala el mismo. 
El sistema de freno no se pudo restaurar por el gran desgaste del Hub en el asiento de la vincha y por no disponer de la pieza 738, la cual estaba rota (se soldó pero no aguantó la fuerza y volvió a partir), la vincha no es instalada y Las varillas L  se entregan a la comunidad. El hub presenta desgaste contra el eje del rotor y buje flauta, causando fuga de aceite y "juego" entre las piezas. En el rotor se encontraron 6 radios con las puntas roscadas desgastadas (incluyendonla rosca en la manzana), así que se desinstalaron y cambiaron las puntas por varilla 5/8" pasante con tuerca. Al rotos se le faltaban 5 aspas y otras presentaban gran deterioro en el costillal que las sostiene, así que se instalaron 7 aspas nuevas con su respectivo costillal y se les aplicó soldadura de refuerzo a las demás aspas antiguas. 
En el convertidor, se realiza cambio de aceite aunque tiene la fuga a través del eje del rotor y tubo sostén. Se encuentra desgaste en bujes de biela que ocasionan golpe al funcionar el molino. 
Se realizan actividades de pintura en general y cambio de accesorios PVC. </t>
  </si>
  <si>
    <t>20 dia de viaje
21 , 22, 23 y 24 de trabajo
25 de viaje</t>
  </si>
  <si>
    <t>Semana 10 (27 de abril al 2 de mayo)</t>
  </si>
  <si>
    <t>Cambio de flanche</t>
  </si>
  <si>
    <t>REPORTE DE FALLA: Fuga en Flanche</t>
  </si>
  <si>
    <t>JAWAIPIAK</t>
  </si>
  <si>
    <t>Mantenimiento general</t>
  </si>
  <si>
    <t>TAMASIKOMANA</t>
  </si>
  <si>
    <t>11.587220,-72.605086</t>
  </si>
  <si>
    <t>Se encuentra molino operativo y con daño estructural severo. Se realizó reemplazo del sistema de bombeo completa. Bomba sumergible, 5 tubos debajo de flan che y tubería externa con varillaje de 1/2”. Se ajustó sistema de freno. Se realizó refuerzo estructural mayor reemplazando 3 de los ángulos de soporte de la base. Se realizó grateado y pintado de las zonas más afectadas. Se evidencia adelgazamiento de pared severo en uno de los ángulos principales, el cual fue reparado y pintado para evitar avance de la corrosión. Molino queda 100% funcional con recomendación de seguimiento de integridad estructural en futuras reparaciones.</t>
  </si>
  <si>
    <t>KAYATANAMA</t>
  </si>
  <si>
    <t>11.575435,-72.649463</t>
  </si>
  <si>
    <t>Semana 11 (5 al 9 de mayo)</t>
  </si>
  <si>
    <t xml:space="preserve">SE REALIZA REEMPLAZO DE TUBERIAS, VARILLAS Y BOMBA ( 5 TUBOS INFERIOIRES Y 1.5 SUPERIORES, BOMBA INSERTADA ES REPARADA). Se revisa sistema de freno. Se realizó trabajo de pintura, aspas y estructura además de el pedestal. Se cambió PVC.  </t>
  </si>
  <si>
    <t>WAYUCHEIN</t>
  </si>
  <si>
    <t>11.567812,-72.642758</t>
  </si>
  <si>
    <t xml:space="preserve">Se encuentra molino operativo, sistema de freno y estructura en buen estado. Se procede a realizar mantenimiento programado. Se realiza cambio de tubería, sin embargo. Por petición de la comunidad se instaló la misma bomba. Se realizó pintado de aspas, sistema convertidor y pedestal. El molino queda 100% operativo y se hace entrega a la comunidad. </t>
  </si>
  <si>
    <t>Dia 07/05/2026 no se viaja por parada de seguridad</t>
  </si>
  <si>
    <t>WAYUPIA (MANAURE)</t>
  </si>
  <si>
    <t>KOUSATCHON (RIOHACHA)</t>
  </si>
  <si>
    <t>PIOLEKAT (MANAURE)</t>
  </si>
  <si>
    <t>CEURA 2 (MAICAO)</t>
  </si>
  <si>
    <t>ISASHIMANA (MANAURE)</t>
  </si>
  <si>
    <t>SAN MARTIN PULOI (MANAURE)</t>
  </si>
  <si>
    <t>MAICAITO (MAICAO)</t>
  </si>
  <si>
    <t>JAGUAIPIA (MANAURE)</t>
  </si>
  <si>
    <t>AMALINA 2 (MAICAO)</t>
  </si>
  <si>
    <t>MUSICHI (MANAURE)</t>
  </si>
  <si>
    <t>COUSEPA (MANAURE)</t>
  </si>
  <si>
    <t>JASAIKAT GUADALUPE (MANAURE)</t>
  </si>
  <si>
    <t>KEWIRRASHI (RIOHACHA)</t>
  </si>
  <si>
    <t>JALUAPIA 2 (RIOHACHA)</t>
  </si>
  <si>
    <t>TOLOPONAKAT (RIOHACHA)</t>
  </si>
  <si>
    <t>CHUPUTCHI (URIBIA)</t>
  </si>
  <si>
    <t>BOTONCHON (URIBIA)</t>
  </si>
  <si>
    <t>HIOTSHI (RIOHACHA)</t>
  </si>
  <si>
    <t>KASUSPA (URIBIA (ALTA GUAJIRA))</t>
  </si>
  <si>
    <t>JAWAIPIAK (MANAURE)</t>
  </si>
  <si>
    <t>TAMASIKOMANA (MANAURE)</t>
  </si>
  <si>
    <t>KAYATANAMA (MANAURE)</t>
  </si>
  <si>
    <t>WAYUCHEIN (MANAURE)</t>
  </si>
  <si>
    <t>ACTIVIDADES</t>
  </si>
  <si>
    <t>Semana 1 (18 al 21 de febrero)
4 Dias</t>
  </si>
  <si>
    <t>DIAS UTILIZADOS</t>
  </si>
  <si>
    <t>Semana 2 (25 al 28 de febrero)
4 Dias</t>
  </si>
  <si>
    <t>Semana 3 (3 al 7 de marzo)
5 Dias</t>
  </si>
  <si>
    <t>Semana 4 (10 al 14 de marzo)
5 Dias</t>
  </si>
  <si>
    <t>Semana 5 (17 al 21 de marzo)
5 Dias</t>
  </si>
  <si>
    <t>Semana 6 (25 al 28 de marzo)
4 Dias</t>
  </si>
  <si>
    <t>Semana 7 (8 al 11 de abril)
4 Dias</t>
  </si>
  <si>
    <t>Semana 8 (13 al 18 de abril)
6 Dias</t>
  </si>
  <si>
    <t>Semana 9 (20 al 25 de abril)
6 Dias</t>
  </si>
  <si>
    <t>Semana 10 (27 de abril al 2 de mayo)
6 Dias</t>
  </si>
  <si>
    <t>Semana 11 (5 al 9 de mayo)
5 Dias</t>
  </si>
  <si>
    <t>Entrenamiento de alturas (-3 integrantes)</t>
  </si>
  <si>
    <t>2,5 dias en paro armado sin salidas</t>
  </si>
  <si>
    <t>1 Dia de viaje (7 horas) y 1 dia de regreso</t>
  </si>
  <si>
    <t>Requirió reconstruccion de pedestal</t>
  </si>
  <si>
    <t>Montaje de aspas</t>
  </si>
  <si>
    <t>Restauracion de frenos</t>
  </si>
  <si>
    <t>Revisita por bajo caudal</t>
  </si>
  <si>
    <t>Acabados de pedestal y conexión</t>
  </si>
  <si>
    <t>Fallo de Bomba, se encontraron objetos dentro de la bomba (Clavos, baterias)</t>
  </si>
  <si>
    <t>Bomba instalada presentó mal funcionamiento.</t>
  </si>
  <si>
    <t>Incluye reparacion estructural por daño severo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</si>
</sst>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m/yyyy"/>
  </numFmts>
  <fonts count="8">
    <font>
      <sz val="11"/>
      <color theme="1"/>
      <name val="Calibri"/>
      <scheme val="minor"/>
    </font>
    <font>
      <sz val="11"/>
      <color theme="0"/>
      <name val="Arial"/>
    </font>
    <font>
      <sz val="11"/>
      <color rgb="FFFFFFFF"/>
      <name val="Arial"/>
    </font>
    <font>
      <sz val="11"/>
      <color theme="0"/>
      <name val="Calibri"/>
    </font>
    <font>
      <sz val="11"/>
      <color rgb="FF000000"/>
      <name val="Arial"/>
    </font>
    <font>
      <sz val="11"/>
      <color rgb="FF000000"/>
      <name val="Calibri"/>
    </font>
    <font>
      <sz val="11"/>
      <color rgb="FF000000"/>
      <name val="&quot;Aptos Narrow&quot;"/>
    </font>
    <font>
      <sz val="11"/>
      <color theme="1"/>
      <name val="Arial"/>
    </font>
  </fonts>
  <fills count="17">
    <fill>
      <patternFill patternType="none"/>
    </fill>
    <fill>
      <patternFill patternType="gray125"/>
    </fill>
    <fill>
      <patternFill patternType="solid">
        <fgColor rgb="FF1F3864"/>
        <bgColor rgb="FF1F3864"/>
      </patternFill>
    </fill>
    <fill>
      <patternFill patternType="solid">
        <fgColor theme="0"/>
        <bgColor theme="0"/>
      </patternFill>
    </fill>
    <fill>
      <patternFill patternType="solid">
        <fgColor rgb="FFFFFFFF"/>
        <bgColor rgb="FFFFFFFF"/>
      </patternFill>
    </fill>
    <fill>
      <patternFill patternType="solid">
        <fgColor theme="8" tint="0.59999389629810485"/>
        <bgColor theme="0"/>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59999389629810485"/>
        <bgColor theme="0"/>
      </patternFill>
    </fill>
    <fill>
      <patternFill patternType="solid">
        <fgColor theme="7" tint="0.59999389629810485"/>
        <bgColor indexed="64"/>
      </patternFill>
    </fill>
    <fill>
      <patternFill patternType="solid">
        <fgColor theme="7" tint="0.59999389629810485"/>
        <bgColor theme="0"/>
      </patternFill>
    </fill>
    <fill>
      <patternFill patternType="solid">
        <fgColor theme="5" tint="0.39997558519241921"/>
        <bgColor theme="0"/>
      </patternFill>
    </fill>
    <fill>
      <patternFill patternType="solid">
        <fgColor theme="5" tint="0.39997558519241921"/>
        <bgColor indexed="64"/>
      </patternFill>
    </fill>
    <fill>
      <patternFill patternType="solid">
        <fgColor rgb="FFF6C3FF"/>
        <bgColor theme="0"/>
      </patternFill>
    </fill>
    <fill>
      <patternFill patternType="solid">
        <fgColor rgb="FFF6C3FF"/>
        <bgColor indexed="64"/>
      </patternFill>
    </fill>
    <fill>
      <patternFill patternType="solid">
        <fgColor rgb="FFFFC6C6"/>
        <bgColor theme="0"/>
      </patternFill>
    </fill>
    <fill>
      <patternFill patternType="solid">
        <fgColor rgb="FFFFC6C6"/>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wrapText="1"/>
    </xf>
    <xf numFmtId="0" fontId="5" fillId="3" borderId="1" xfId="0" applyFont="1" applyFill="1" applyBorder="1"/>
    <xf numFmtId="0" fontId="6" fillId="0" borderId="1" xfId="0" applyFont="1" applyBorder="1" applyAlignment="1">
      <alignment horizontal="center" vertical="center"/>
    </xf>
    <xf numFmtId="164" fontId="4" fillId="3" borderId="1" xfId="0" applyNumberFormat="1" applyFont="1" applyFill="1" applyBorder="1" applyAlignment="1">
      <alignment horizontal="center" vertical="center"/>
    </xf>
    <xf numFmtId="164" fontId="7" fillId="4" borderId="1" xfId="0" applyNumberFormat="1" applyFont="1" applyFill="1" applyBorder="1" applyAlignment="1">
      <alignment horizontal="center" vertical="center"/>
    </xf>
    <xf numFmtId="165" fontId="4" fillId="3"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xf numFmtId="0" fontId="4" fillId="3" borderId="0" xfId="0" applyFont="1" applyFill="1" applyAlignment="1">
      <alignment horizontal="left" vertical="center" wrapText="1"/>
    </xf>
    <xf numFmtId="0" fontId="5" fillId="3" borderId="1" xfId="0" applyFont="1" applyFill="1" applyBorder="1" applyAlignment="1">
      <alignment horizontal="left"/>
    </xf>
    <xf numFmtId="0" fontId="5" fillId="3" borderId="1" xfId="0" applyFont="1" applyFill="1" applyBorder="1" applyAlignment="1">
      <alignment vertical="center"/>
    </xf>
    <xf numFmtId="14" fontId="4" fillId="3"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0" borderId="0" xfId="0" applyFont="1" applyAlignment="1">
      <alignment horizontal="center" vertical="center"/>
    </xf>
    <xf numFmtId="0" fontId="6" fillId="0" borderId="1"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0" fillId="0" borderId="0" xfId="0" applyAlignment="1">
      <alignment horizontal="center"/>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0" borderId="3"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0"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0" borderId="10" xfId="0" applyBorder="1" applyAlignment="1">
      <alignment horizontal="center"/>
    </xf>
    <xf numFmtId="0" fontId="4" fillId="5" borderId="4"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10" borderId="4"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0" fillId="6" borderId="10" xfId="0" applyFill="1" applyBorder="1" applyAlignment="1">
      <alignment horizontal="center"/>
    </xf>
    <xf numFmtId="0" fontId="1"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0" fillId="0" borderId="15" xfId="0" applyBorder="1" applyAlignment="1">
      <alignment horizontal="center"/>
    </xf>
    <xf numFmtId="0" fontId="4" fillId="3" borderId="16" xfId="0" applyFont="1" applyFill="1" applyBorder="1" applyAlignment="1">
      <alignment horizontal="center" vertical="center"/>
    </xf>
    <xf numFmtId="0" fontId="0" fillId="0" borderId="17" xfId="0" applyBorder="1" applyAlignment="1">
      <alignment horizontal="center"/>
    </xf>
    <xf numFmtId="0" fontId="4" fillId="3" borderId="16" xfId="0" applyFont="1" applyFill="1" applyBorder="1" applyAlignment="1">
      <alignment horizontal="center" vertical="center" wrapText="1"/>
    </xf>
    <xf numFmtId="0" fontId="0" fillId="0" borderId="18" xfId="0" applyBorder="1" applyAlignment="1">
      <alignment horizontal="center"/>
    </xf>
    <xf numFmtId="0" fontId="0" fillId="7" borderId="15" xfId="0" applyFill="1" applyBorder="1" applyAlignment="1">
      <alignment horizontal="center"/>
    </xf>
    <xf numFmtId="0" fontId="4" fillId="3" borderId="19" xfId="0" applyFont="1" applyFill="1" applyBorder="1" applyAlignment="1">
      <alignment horizontal="center" vertical="center" wrapText="1"/>
    </xf>
    <xf numFmtId="0" fontId="6" fillId="9" borderId="0" xfId="0" applyFont="1" applyFill="1" applyBorder="1" applyAlignment="1">
      <alignment horizontal="center" vertical="center"/>
    </xf>
    <xf numFmtId="0" fontId="0" fillId="9" borderId="15" xfId="0" applyFill="1" applyBorder="1" applyAlignment="1">
      <alignment horizontal="center"/>
    </xf>
    <xf numFmtId="0" fontId="4" fillId="3" borderId="19" xfId="0" applyFont="1" applyFill="1" applyBorder="1" applyAlignment="1">
      <alignment horizontal="center" vertical="center"/>
    </xf>
    <xf numFmtId="0" fontId="0" fillId="6" borderId="15" xfId="0" applyFill="1" applyBorder="1" applyAlignment="1">
      <alignment horizont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xf>
    <xf numFmtId="0" fontId="6" fillId="4" borderId="22" xfId="0" applyFont="1" applyFill="1" applyBorder="1" applyAlignment="1">
      <alignment horizontal="center" vertical="center"/>
    </xf>
    <xf numFmtId="0" fontId="4" fillId="3" borderId="23" xfId="0" applyFont="1" applyFill="1" applyBorder="1" applyAlignment="1">
      <alignment horizontal="center" vertical="center" wrapText="1"/>
    </xf>
    <xf numFmtId="0" fontId="0" fillId="0" borderId="24" xfId="0" applyBorder="1" applyAlignment="1">
      <alignment horizontal="center"/>
    </xf>
    <xf numFmtId="0" fontId="4" fillId="11" borderId="1" xfId="0" applyFont="1" applyFill="1" applyBorder="1" applyAlignment="1">
      <alignment horizontal="center" vertical="center"/>
    </xf>
    <xf numFmtId="0" fontId="4" fillId="11" borderId="4" xfId="0" applyFont="1" applyFill="1" applyBorder="1" applyAlignment="1">
      <alignment horizontal="center" vertical="center" wrapText="1"/>
    </xf>
    <xf numFmtId="0" fontId="0" fillId="12" borderId="15" xfId="0" applyFill="1" applyBorder="1" applyAlignment="1">
      <alignment horizontal="center"/>
    </xf>
    <xf numFmtId="0" fontId="0" fillId="0" borderId="15" xfId="0" applyBorder="1" applyAlignment="1">
      <alignment horizontal="center" wrapText="1"/>
    </xf>
    <xf numFmtId="0" fontId="0" fillId="6" borderId="15" xfId="0" applyFill="1" applyBorder="1" applyAlignment="1">
      <alignment horizontal="center" wrapText="1"/>
    </xf>
    <xf numFmtId="0" fontId="4" fillId="13" borderId="1" xfId="0" applyFont="1" applyFill="1" applyBorder="1" applyAlignment="1">
      <alignment horizontal="center" vertical="center"/>
    </xf>
    <xf numFmtId="0" fontId="4" fillId="13" borderId="4" xfId="0" applyFont="1" applyFill="1" applyBorder="1" applyAlignment="1">
      <alignment horizontal="center" vertical="center"/>
    </xf>
    <xf numFmtId="0" fontId="0" fillId="14" borderId="15" xfId="0" applyFill="1" applyBorder="1" applyAlignment="1">
      <alignment horizontal="center"/>
    </xf>
    <xf numFmtId="0" fontId="4" fillId="15" borderId="1" xfId="0" applyFont="1" applyFill="1" applyBorder="1" applyAlignment="1">
      <alignment horizontal="center" vertical="center"/>
    </xf>
    <xf numFmtId="0" fontId="4" fillId="15" borderId="4" xfId="0" applyFont="1" applyFill="1" applyBorder="1" applyAlignment="1">
      <alignment horizontal="center" vertical="center" wrapText="1"/>
    </xf>
    <xf numFmtId="0" fontId="0" fillId="16" borderId="15" xfId="0" applyFill="1" applyBorder="1" applyAlignment="1">
      <alignment horizontal="center"/>
    </xf>
    <xf numFmtId="0" fontId="4" fillId="15" borderId="1" xfId="0" applyFont="1" applyFill="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BB84B543-AD97-4276-AF20-B619EFE3FCC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73E08-A708-4589-AF26-AAB752677004}">
  <dimension ref="A1:AE26"/>
  <sheetViews>
    <sheetView topLeftCell="E20" zoomScale="70" zoomScaleNormal="70" workbookViewId="0">
      <selection activeCell="I21" sqref="I21"/>
    </sheetView>
  </sheetViews>
  <sheetFormatPr baseColWidth="10" defaultRowHeight="15"/>
  <cols>
    <col min="1" max="1" width="26.7109375" customWidth="1"/>
    <col min="2" max="3" width="34.28515625" customWidth="1"/>
    <col min="4" max="4" width="31" customWidth="1"/>
    <col min="5" max="5" width="38.28515625" customWidth="1"/>
    <col min="6" max="6" width="48.140625" customWidth="1"/>
    <col min="7" max="7" width="61.5703125" customWidth="1"/>
    <col min="8" max="9" width="30.7109375" customWidth="1"/>
    <col min="10" max="10" width="38.140625" customWidth="1"/>
    <col min="11" max="11" width="84.5703125" customWidth="1"/>
    <col min="12" max="13" width="0" hidden="1" customWidth="1"/>
  </cols>
  <sheetData>
    <row r="1" spans="1:31" ht="48.75" customHeight="1">
      <c r="A1" s="1" t="s">
        <v>0</v>
      </c>
      <c r="B1" s="2" t="s">
        <v>1</v>
      </c>
      <c r="C1" s="2" t="s">
        <v>1</v>
      </c>
      <c r="D1" s="1" t="s">
        <v>2</v>
      </c>
      <c r="E1" s="1" t="s">
        <v>3</v>
      </c>
      <c r="F1" s="1" t="s">
        <v>4</v>
      </c>
      <c r="G1" s="2" t="s">
        <v>5</v>
      </c>
      <c r="H1" s="2" t="s">
        <v>6</v>
      </c>
      <c r="I1" s="2" t="s">
        <v>7</v>
      </c>
      <c r="J1" s="2" t="s">
        <v>8</v>
      </c>
      <c r="K1" s="1" t="s">
        <v>9</v>
      </c>
      <c r="L1" s="2" t="s">
        <v>10</v>
      </c>
      <c r="M1" s="2" t="s">
        <v>11</v>
      </c>
      <c r="N1" s="1" t="s">
        <v>12</v>
      </c>
      <c r="O1" s="1" t="s">
        <v>13</v>
      </c>
      <c r="P1" s="3"/>
      <c r="Q1" s="3"/>
      <c r="R1" s="3"/>
      <c r="S1" s="3"/>
      <c r="T1" s="3"/>
      <c r="U1" s="3"/>
      <c r="V1" s="3"/>
      <c r="W1" s="3"/>
      <c r="X1" s="3"/>
      <c r="Y1" s="3"/>
      <c r="Z1" s="3"/>
      <c r="AA1" s="3"/>
      <c r="AB1" s="3"/>
      <c r="AC1" s="3"/>
      <c r="AD1" s="3"/>
      <c r="AE1" s="3"/>
    </row>
    <row r="2" spans="1:31" ht="71.25">
      <c r="A2" s="9" t="s">
        <v>21</v>
      </c>
      <c r="B2" s="21" t="s">
        <v>22</v>
      </c>
      <c r="C2" s="21" t="str">
        <f>UPPER(B2&amp;" ("&amp;A2&amp;")")</f>
        <v>WAYUPIA (MANAURE)</v>
      </c>
      <c r="D2" s="5" t="s">
        <v>23</v>
      </c>
      <c r="E2" s="4" t="s">
        <v>17</v>
      </c>
      <c r="F2" s="4" t="s">
        <v>24</v>
      </c>
      <c r="G2" s="6" t="s">
        <v>25</v>
      </c>
      <c r="H2" s="10">
        <v>46071</v>
      </c>
      <c r="I2" s="10">
        <v>46072</v>
      </c>
      <c r="J2" s="11">
        <v>45910</v>
      </c>
      <c r="K2" s="12" t="s">
        <v>26</v>
      </c>
      <c r="L2" s="8">
        <f t="shared" ref="L2:L7" si="0">(H2-J2)/30</f>
        <v>5.3666666666666663</v>
      </c>
      <c r="M2" s="8" t="s">
        <v>27</v>
      </c>
      <c r="N2" s="8"/>
      <c r="O2" s="8"/>
    </row>
    <row r="3" spans="1:31" ht="71.25">
      <c r="A3" s="4" t="s">
        <v>14</v>
      </c>
      <c r="B3" s="5" t="s">
        <v>15</v>
      </c>
      <c r="C3" s="21" t="str">
        <f t="shared" ref="C3:C26" si="1">UPPER(B3&amp;" ("&amp;A3&amp;")")</f>
        <v>KOUSATCHON (RIOHACHA)</v>
      </c>
      <c r="D3" s="5" t="s">
        <v>16</v>
      </c>
      <c r="E3" s="4" t="s">
        <v>17</v>
      </c>
      <c r="F3" s="5" t="s">
        <v>18</v>
      </c>
      <c r="G3" s="6" t="s">
        <v>19</v>
      </c>
      <c r="H3" s="7">
        <v>46073</v>
      </c>
      <c r="I3" s="7">
        <v>46074</v>
      </c>
      <c r="J3" s="5" t="s">
        <v>20</v>
      </c>
      <c r="K3" s="5"/>
      <c r="L3" s="8" t="e">
        <f t="shared" si="0"/>
        <v>#VALUE!</v>
      </c>
      <c r="M3" s="8"/>
      <c r="N3" s="8"/>
      <c r="O3" s="8"/>
    </row>
    <row r="4" spans="1:31" ht="85.5">
      <c r="A4" s="13" t="s">
        <v>21</v>
      </c>
      <c r="B4" s="9" t="s">
        <v>28</v>
      </c>
      <c r="C4" s="21" t="str">
        <f t="shared" si="1"/>
        <v>PIOLEKAT (MANAURE)</v>
      </c>
      <c r="D4" s="4" t="s">
        <v>29</v>
      </c>
      <c r="E4" s="4" t="s">
        <v>30</v>
      </c>
      <c r="F4" s="4" t="s">
        <v>24</v>
      </c>
      <c r="G4" s="6" t="s">
        <v>31</v>
      </c>
      <c r="H4" s="10">
        <v>46078</v>
      </c>
      <c r="I4" s="10">
        <v>46078</v>
      </c>
      <c r="J4" s="11">
        <v>45954</v>
      </c>
      <c r="K4" s="4" t="s">
        <v>32</v>
      </c>
      <c r="L4" s="8">
        <f t="shared" si="0"/>
        <v>4.1333333333333337</v>
      </c>
      <c r="M4" s="8" t="s">
        <v>33</v>
      </c>
      <c r="N4" s="8"/>
      <c r="O4" s="8"/>
    </row>
    <row r="5" spans="1:31" ht="57">
      <c r="A5" s="4" t="s">
        <v>34</v>
      </c>
      <c r="B5" s="5" t="s">
        <v>35</v>
      </c>
      <c r="C5" s="21" t="str">
        <f t="shared" si="1"/>
        <v>CEURA 2 (MAICAO)</v>
      </c>
      <c r="D5" s="4" t="s">
        <v>36</v>
      </c>
      <c r="E5" s="5" t="s">
        <v>37</v>
      </c>
      <c r="F5" s="5" t="s">
        <v>18</v>
      </c>
      <c r="G5" s="6" t="s">
        <v>38</v>
      </c>
      <c r="H5" s="10">
        <v>46079</v>
      </c>
      <c r="I5" s="10">
        <v>46088</v>
      </c>
      <c r="J5" s="5" t="s">
        <v>20</v>
      </c>
      <c r="K5" s="5"/>
      <c r="L5" s="8" t="e">
        <f t="shared" si="0"/>
        <v>#VALUE!</v>
      </c>
      <c r="M5" s="8"/>
      <c r="N5" s="8"/>
      <c r="O5" s="8"/>
    </row>
    <row r="6" spans="1:31" ht="57">
      <c r="A6" s="13" t="s">
        <v>21</v>
      </c>
      <c r="B6" s="20" t="s">
        <v>39</v>
      </c>
      <c r="C6" s="21" t="str">
        <f t="shared" si="1"/>
        <v>ISASHIMANA (MANAURE)</v>
      </c>
      <c r="D6" s="4" t="s">
        <v>40</v>
      </c>
      <c r="E6" s="5" t="s">
        <v>37</v>
      </c>
      <c r="F6" s="4" t="s">
        <v>24</v>
      </c>
      <c r="G6" s="6" t="s">
        <v>41</v>
      </c>
      <c r="H6" s="10">
        <v>46081</v>
      </c>
      <c r="I6" s="10">
        <v>46084</v>
      </c>
      <c r="J6" s="11">
        <v>45939</v>
      </c>
      <c r="K6" s="5" t="s">
        <v>42</v>
      </c>
      <c r="L6" s="8">
        <f t="shared" si="0"/>
        <v>4.7333333333333334</v>
      </c>
      <c r="M6" s="8" t="s">
        <v>27</v>
      </c>
      <c r="N6" s="8"/>
      <c r="O6" s="8"/>
    </row>
    <row r="7" spans="1:31" ht="42.75">
      <c r="A7" s="13" t="s">
        <v>21</v>
      </c>
      <c r="B7" s="25" t="s">
        <v>43</v>
      </c>
      <c r="C7" s="21" t="str">
        <f t="shared" si="1"/>
        <v>SAN MARTIN PULOI (MANAURE)</v>
      </c>
      <c r="D7" s="4" t="s">
        <v>44</v>
      </c>
      <c r="E7" s="4" t="s">
        <v>45</v>
      </c>
      <c r="F7" s="4" t="s">
        <v>24</v>
      </c>
      <c r="G7" s="6" t="s">
        <v>46</v>
      </c>
      <c r="H7" s="10">
        <v>46085</v>
      </c>
      <c r="I7" s="10">
        <v>46085</v>
      </c>
      <c r="J7" s="11">
        <v>45976</v>
      </c>
      <c r="K7" s="12" t="s">
        <v>47</v>
      </c>
      <c r="L7" s="8">
        <f t="shared" si="0"/>
        <v>3.6333333333333333</v>
      </c>
      <c r="M7" s="8" t="s">
        <v>27</v>
      </c>
      <c r="N7" s="8"/>
      <c r="O7" s="8"/>
    </row>
    <row r="8" spans="1:31" ht="99.75">
      <c r="A8" s="4" t="s">
        <v>48</v>
      </c>
      <c r="B8" s="5" t="s">
        <v>49</v>
      </c>
      <c r="C8" s="21" t="str">
        <f t="shared" si="1"/>
        <v>MAICAITO (MAICAO)</v>
      </c>
      <c r="D8" s="4"/>
      <c r="E8" s="4" t="s">
        <v>45</v>
      </c>
      <c r="F8" s="5" t="s">
        <v>18</v>
      </c>
      <c r="G8" s="6" t="s">
        <v>50</v>
      </c>
      <c r="H8" s="10">
        <v>46086</v>
      </c>
      <c r="I8" s="10">
        <v>46087</v>
      </c>
      <c r="J8" s="4" t="s">
        <v>20</v>
      </c>
      <c r="K8" s="4"/>
      <c r="L8" s="14"/>
      <c r="M8" s="14"/>
      <c r="N8" s="14"/>
      <c r="O8" s="14"/>
    </row>
    <row r="9" spans="1:31" ht="71.25">
      <c r="A9" s="4" t="s">
        <v>21</v>
      </c>
      <c r="B9" s="4" t="s">
        <v>51</v>
      </c>
      <c r="C9" s="21" t="str">
        <f t="shared" si="1"/>
        <v>JAGUAIPIA (MANAURE)</v>
      </c>
      <c r="D9" s="4" t="s">
        <v>52</v>
      </c>
      <c r="E9" s="4" t="s">
        <v>53</v>
      </c>
      <c r="F9" s="5" t="s">
        <v>18</v>
      </c>
      <c r="G9" s="15" t="s">
        <v>54</v>
      </c>
      <c r="H9" s="10">
        <v>46091</v>
      </c>
      <c r="I9" s="10">
        <v>46092</v>
      </c>
      <c r="J9" s="4" t="s">
        <v>20</v>
      </c>
      <c r="K9" s="5"/>
      <c r="L9" s="16"/>
      <c r="M9" s="16"/>
      <c r="N9" s="16"/>
      <c r="O9" s="16"/>
    </row>
    <row r="10" spans="1:31" ht="57">
      <c r="A10" s="4" t="s">
        <v>48</v>
      </c>
      <c r="B10" s="4" t="s">
        <v>55</v>
      </c>
      <c r="C10" s="21" t="str">
        <f t="shared" si="1"/>
        <v>AMALINA 2 (MAICAO)</v>
      </c>
      <c r="D10" s="4" t="s">
        <v>56</v>
      </c>
      <c r="E10" s="4" t="s">
        <v>53</v>
      </c>
      <c r="F10" s="4" t="s">
        <v>24</v>
      </c>
      <c r="G10" s="6" t="s">
        <v>57</v>
      </c>
      <c r="H10" s="10">
        <v>46092</v>
      </c>
      <c r="I10" s="10">
        <v>46092</v>
      </c>
      <c r="J10" s="10">
        <v>45955</v>
      </c>
      <c r="K10" s="5" t="s">
        <v>58</v>
      </c>
      <c r="L10" s="8">
        <f>(H10-J10)/30</f>
        <v>4.5666666666666664</v>
      </c>
      <c r="M10" s="8" t="s">
        <v>59</v>
      </c>
      <c r="N10" s="8"/>
      <c r="O10" s="8"/>
    </row>
    <row r="11" spans="1:31" ht="28.5">
      <c r="A11" s="4" t="s">
        <v>21</v>
      </c>
      <c r="B11" s="4" t="s">
        <v>60</v>
      </c>
      <c r="C11" s="21" t="str">
        <f t="shared" si="1"/>
        <v>MUSICHI (MANAURE)</v>
      </c>
      <c r="D11" s="4"/>
      <c r="E11" s="4" t="s">
        <v>53</v>
      </c>
      <c r="F11" s="4" t="s">
        <v>24</v>
      </c>
      <c r="G11" s="6" t="s">
        <v>61</v>
      </c>
      <c r="H11" s="10">
        <v>46093</v>
      </c>
      <c r="I11" s="10">
        <v>46093</v>
      </c>
      <c r="J11" s="10">
        <v>45957</v>
      </c>
      <c r="K11" s="5" t="s">
        <v>62</v>
      </c>
      <c r="L11" s="8">
        <f>(H11-J11)/30</f>
        <v>4.5333333333333332</v>
      </c>
      <c r="M11" s="8"/>
      <c r="N11" s="8"/>
      <c r="O11" s="8"/>
    </row>
    <row r="12" spans="1:31" ht="242.25">
      <c r="A12" s="4" t="s">
        <v>21</v>
      </c>
      <c r="B12" s="4" t="s">
        <v>63</v>
      </c>
      <c r="C12" s="21" t="str">
        <f t="shared" si="1"/>
        <v>COUSEPA (MANAURE)</v>
      </c>
      <c r="D12" s="4"/>
      <c r="E12" s="4" t="s">
        <v>53</v>
      </c>
      <c r="F12" s="5" t="s">
        <v>18</v>
      </c>
      <c r="G12" s="6" t="s">
        <v>64</v>
      </c>
      <c r="H12" s="10">
        <v>46094</v>
      </c>
      <c r="I12" s="10">
        <v>46095</v>
      </c>
      <c r="J12" s="4" t="s">
        <v>20</v>
      </c>
      <c r="K12" s="5" t="s">
        <v>65</v>
      </c>
      <c r="L12" s="8" t="e">
        <f>(H12-J12)/30</f>
        <v>#VALUE!</v>
      </c>
      <c r="M12" s="17"/>
      <c r="N12" s="17"/>
      <c r="O12" s="17"/>
    </row>
    <row r="13" spans="1:31" ht="57">
      <c r="A13" s="4" t="s">
        <v>21</v>
      </c>
      <c r="B13" s="4" t="s">
        <v>66</v>
      </c>
      <c r="C13" s="21" t="str">
        <f t="shared" si="1"/>
        <v>JASAIKAT GUADALUPE (MANAURE)</v>
      </c>
      <c r="D13" s="4" t="s">
        <v>67</v>
      </c>
      <c r="E13" s="4" t="s">
        <v>68</v>
      </c>
      <c r="F13" s="4" t="s">
        <v>24</v>
      </c>
      <c r="G13" s="6" t="s">
        <v>69</v>
      </c>
      <c r="H13" s="10">
        <v>46098</v>
      </c>
      <c r="I13" s="10">
        <v>46098</v>
      </c>
      <c r="J13" s="10">
        <v>45994</v>
      </c>
      <c r="K13" s="5" t="s">
        <v>70</v>
      </c>
      <c r="L13" s="8">
        <f>(H13-J13)/30</f>
        <v>3.4666666666666668</v>
      </c>
      <c r="M13" s="8" t="s">
        <v>71</v>
      </c>
      <c r="N13" s="8"/>
      <c r="O13" s="8"/>
    </row>
    <row r="14" spans="1:31" ht="85.5">
      <c r="A14" s="4" t="s">
        <v>14</v>
      </c>
      <c r="B14" s="4" t="s">
        <v>72</v>
      </c>
      <c r="C14" s="21" t="str">
        <f t="shared" si="1"/>
        <v>KEWIRRASHI (RIOHACHA)</v>
      </c>
      <c r="D14" s="4" t="s">
        <v>73</v>
      </c>
      <c r="E14" s="4" t="s">
        <v>68</v>
      </c>
      <c r="F14" s="5" t="s">
        <v>18</v>
      </c>
      <c r="G14" s="6" t="s">
        <v>74</v>
      </c>
      <c r="H14" s="10">
        <v>46099</v>
      </c>
      <c r="I14" s="10">
        <v>46100</v>
      </c>
      <c r="J14" s="4" t="s">
        <v>20</v>
      </c>
      <c r="K14" s="5"/>
      <c r="L14" s="8"/>
      <c r="M14" s="8"/>
      <c r="N14" s="8"/>
      <c r="O14" s="8"/>
    </row>
    <row r="15" spans="1:31" ht="313.5">
      <c r="A15" s="4" t="s">
        <v>14</v>
      </c>
      <c r="B15" s="4" t="s">
        <v>75</v>
      </c>
      <c r="C15" s="21" t="str">
        <f t="shared" si="1"/>
        <v>JALUAPIA 2 (RIOHACHA)</v>
      </c>
      <c r="D15" s="4"/>
      <c r="E15" s="4" t="s">
        <v>68</v>
      </c>
      <c r="F15" s="5" t="s">
        <v>18</v>
      </c>
      <c r="G15" s="6" t="s">
        <v>76</v>
      </c>
      <c r="H15" s="10">
        <v>46101</v>
      </c>
      <c r="I15" s="10">
        <v>46102</v>
      </c>
      <c r="J15" s="4" t="s">
        <v>20</v>
      </c>
      <c r="K15" s="5"/>
      <c r="L15" s="8"/>
      <c r="M15" s="8"/>
      <c r="N15" s="8"/>
      <c r="O15" s="8"/>
    </row>
    <row r="16" spans="1:31" ht="57">
      <c r="A16" s="4" t="s">
        <v>21</v>
      </c>
      <c r="B16" s="4" t="s">
        <v>66</v>
      </c>
      <c r="C16" s="21" t="str">
        <f t="shared" si="1"/>
        <v>JASAIKAT GUADALUPE (MANAURE)</v>
      </c>
      <c r="D16" s="4" t="s">
        <v>67</v>
      </c>
      <c r="E16" s="4" t="s">
        <v>77</v>
      </c>
      <c r="F16" s="4" t="s">
        <v>24</v>
      </c>
      <c r="G16" s="6" t="s">
        <v>78</v>
      </c>
      <c r="H16" s="10">
        <v>46106</v>
      </c>
      <c r="I16" s="10">
        <v>46106</v>
      </c>
      <c r="J16" s="10">
        <v>45994</v>
      </c>
      <c r="K16" s="5" t="s">
        <v>62</v>
      </c>
      <c r="L16" s="8">
        <f>(H16-J16)/30</f>
        <v>3.7333333333333334</v>
      </c>
      <c r="M16" s="8" t="s">
        <v>71</v>
      </c>
      <c r="N16" s="8"/>
      <c r="O16" s="8"/>
    </row>
    <row r="17" spans="1:15" ht="285">
      <c r="A17" s="4" t="s">
        <v>14</v>
      </c>
      <c r="B17" s="5" t="s">
        <v>79</v>
      </c>
      <c r="C17" s="21" t="str">
        <f t="shared" si="1"/>
        <v>TOLOPONAKAT (RIOHACHA)</v>
      </c>
      <c r="D17" s="4" t="s">
        <v>80</v>
      </c>
      <c r="E17" s="5" t="s">
        <v>81</v>
      </c>
      <c r="F17" s="5" t="s">
        <v>18</v>
      </c>
      <c r="G17" s="6" t="s">
        <v>82</v>
      </c>
      <c r="H17" s="10">
        <v>46107</v>
      </c>
      <c r="I17" s="10">
        <v>46120</v>
      </c>
      <c r="J17" s="4" t="s">
        <v>20</v>
      </c>
      <c r="K17" s="5"/>
      <c r="L17" s="8"/>
      <c r="M17" s="8"/>
      <c r="N17" s="8"/>
      <c r="O17" s="8"/>
    </row>
    <row r="18" spans="1:15" ht="71.25">
      <c r="A18" s="4" t="s">
        <v>83</v>
      </c>
      <c r="B18" s="4" t="s">
        <v>84</v>
      </c>
      <c r="C18" s="21" t="str">
        <f t="shared" si="1"/>
        <v>CHUPUTCHI (URIBIA)</v>
      </c>
      <c r="D18" s="4" t="s">
        <v>85</v>
      </c>
      <c r="E18" s="4" t="s">
        <v>86</v>
      </c>
      <c r="F18" s="5" t="s">
        <v>18</v>
      </c>
      <c r="G18" s="15" t="s">
        <v>87</v>
      </c>
      <c r="H18" s="10">
        <v>46121</v>
      </c>
      <c r="I18" s="10">
        <v>46123</v>
      </c>
      <c r="J18" s="4" t="s">
        <v>20</v>
      </c>
      <c r="K18" s="5" t="s">
        <v>88</v>
      </c>
      <c r="L18" s="8" t="e">
        <f>(H18-J18)/30</f>
        <v>#VALUE!</v>
      </c>
      <c r="M18" s="17"/>
      <c r="N18" s="17"/>
      <c r="O18" s="17"/>
    </row>
    <row r="19" spans="1:15" ht="71.25">
      <c r="A19" s="4" t="s">
        <v>83</v>
      </c>
      <c r="B19" s="4" t="s">
        <v>89</v>
      </c>
      <c r="C19" s="21" t="str">
        <f t="shared" si="1"/>
        <v>BOTONCHON (URIBIA)</v>
      </c>
      <c r="D19" s="4" t="s">
        <v>90</v>
      </c>
      <c r="E19" s="4" t="s">
        <v>91</v>
      </c>
      <c r="F19" s="5" t="s">
        <v>18</v>
      </c>
      <c r="G19" s="15" t="s">
        <v>92</v>
      </c>
      <c r="H19" s="10">
        <v>46125</v>
      </c>
      <c r="I19" s="10">
        <v>46129</v>
      </c>
      <c r="J19" s="4" t="s">
        <v>20</v>
      </c>
      <c r="K19" s="5" t="s">
        <v>93</v>
      </c>
      <c r="L19" s="8" t="e">
        <f>(H19-J19)/30</f>
        <v>#VALUE!</v>
      </c>
      <c r="M19" s="8"/>
      <c r="N19" s="8"/>
      <c r="O19" s="8"/>
    </row>
    <row r="20" spans="1:15" ht="35.25" customHeight="1">
      <c r="A20" s="4" t="s">
        <v>14</v>
      </c>
      <c r="B20" s="4" t="s">
        <v>94</v>
      </c>
      <c r="C20" s="21" t="str">
        <f t="shared" si="1"/>
        <v>HIOTSHI (RIOHACHA)</v>
      </c>
      <c r="D20" s="4"/>
      <c r="E20" s="4" t="s">
        <v>91</v>
      </c>
      <c r="F20" s="4" t="s">
        <v>24</v>
      </c>
      <c r="G20" s="15" t="s">
        <v>95</v>
      </c>
      <c r="H20" s="10">
        <v>46129</v>
      </c>
      <c r="I20" s="10">
        <v>46129</v>
      </c>
      <c r="J20" s="18">
        <v>45955</v>
      </c>
      <c r="K20" s="5" t="s">
        <v>96</v>
      </c>
      <c r="L20" s="8">
        <f>(H20-J20)/30</f>
        <v>5.8</v>
      </c>
      <c r="M20" s="8"/>
      <c r="N20" s="8"/>
      <c r="O20" s="8"/>
    </row>
    <row r="21" spans="1:15" ht="409.5">
      <c r="A21" s="4" t="s">
        <v>97</v>
      </c>
      <c r="B21" s="4" t="s">
        <v>98</v>
      </c>
      <c r="C21" s="21" t="str">
        <f t="shared" si="1"/>
        <v>KASUSPA (URIBIA (ALTA GUAJIRA))</v>
      </c>
      <c r="D21" s="4" t="s">
        <v>99</v>
      </c>
      <c r="E21" s="4" t="s">
        <v>100</v>
      </c>
      <c r="F21" s="5" t="s">
        <v>18</v>
      </c>
      <c r="G21" s="6" t="s">
        <v>101</v>
      </c>
      <c r="H21" s="10">
        <v>46133</v>
      </c>
      <c r="I21" s="10">
        <v>46136</v>
      </c>
      <c r="J21" s="4" t="s">
        <v>20</v>
      </c>
      <c r="K21" s="5" t="s">
        <v>102</v>
      </c>
      <c r="L21" s="8" t="e">
        <f>(H21-J21)/30</f>
        <v>#VALUE!</v>
      </c>
      <c r="M21" s="8"/>
      <c r="N21" s="8"/>
      <c r="O21" s="8"/>
    </row>
    <row r="22" spans="1:15">
      <c r="A22" s="4" t="s">
        <v>83</v>
      </c>
      <c r="B22" s="4" t="s">
        <v>89</v>
      </c>
      <c r="C22" s="21" t="str">
        <f t="shared" si="1"/>
        <v>BOTONCHON (URIBIA)</v>
      </c>
      <c r="D22" s="4"/>
      <c r="E22" s="4" t="s">
        <v>103</v>
      </c>
      <c r="F22" s="5" t="s">
        <v>24</v>
      </c>
      <c r="G22" s="6" t="s">
        <v>104</v>
      </c>
      <c r="H22" s="10">
        <v>46139</v>
      </c>
      <c r="I22" s="10">
        <v>46139</v>
      </c>
      <c r="J22" s="4"/>
      <c r="K22" s="5" t="s">
        <v>105</v>
      </c>
      <c r="L22" s="8"/>
      <c r="M22" s="8"/>
      <c r="N22" s="8"/>
      <c r="O22" s="8"/>
    </row>
    <row r="23" spans="1:15">
      <c r="A23" s="4" t="s">
        <v>21</v>
      </c>
      <c r="B23" s="4" t="s">
        <v>106</v>
      </c>
      <c r="C23" s="21" t="str">
        <f t="shared" si="1"/>
        <v>JAWAIPIAK (MANAURE)</v>
      </c>
      <c r="D23" s="4"/>
      <c r="E23" s="4" t="s">
        <v>103</v>
      </c>
      <c r="F23" s="5" t="s">
        <v>18</v>
      </c>
      <c r="G23" s="6" t="s">
        <v>107</v>
      </c>
      <c r="H23" s="10">
        <v>46140</v>
      </c>
      <c r="I23" s="10">
        <v>46141</v>
      </c>
      <c r="J23" s="4"/>
      <c r="K23" s="5"/>
      <c r="L23" s="8"/>
      <c r="M23" s="8"/>
      <c r="N23" s="8"/>
      <c r="O23" s="8"/>
    </row>
    <row r="24" spans="1:15" ht="156.75">
      <c r="A24" s="4" t="s">
        <v>21</v>
      </c>
      <c r="B24" s="5" t="s">
        <v>108</v>
      </c>
      <c r="C24" s="21" t="str">
        <f t="shared" si="1"/>
        <v>TAMASIKOMANA (MANAURE)</v>
      </c>
      <c r="D24" s="4" t="s">
        <v>109</v>
      </c>
      <c r="E24" s="4" t="s">
        <v>103</v>
      </c>
      <c r="F24" s="5" t="s">
        <v>18</v>
      </c>
      <c r="G24" s="6" t="s">
        <v>110</v>
      </c>
      <c r="H24" s="10">
        <v>46142</v>
      </c>
      <c r="I24" s="10">
        <v>46144</v>
      </c>
      <c r="J24" s="4" t="s">
        <v>20</v>
      </c>
      <c r="K24" s="4"/>
      <c r="L24" s="8"/>
      <c r="M24" s="8"/>
      <c r="N24" s="8"/>
      <c r="O24" s="8"/>
    </row>
    <row r="25" spans="1:15" ht="71.25">
      <c r="A25" s="19" t="s">
        <v>21</v>
      </c>
      <c r="B25" s="19" t="s">
        <v>111</v>
      </c>
      <c r="C25" s="21" t="str">
        <f t="shared" si="1"/>
        <v>KAYATANAMA (MANAURE)</v>
      </c>
      <c r="D25" s="4" t="s">
        <v>112</v>
      </c>
      <c r="E25" s="4" t="s">
        <v>113</v>
      </c>
      <c r="F25" s="5" t="s">
        <v>18</v>
      </c>
      <c r="G25" s="15" t="s">
        <v>114</v>
      </c>
      <c r="H25" s="10">
        <v>46147</v>
      </c>
      <c r="I25" s="10">
        <v>46148</v>
      </c>
      <c r="J25" s="4" t="s">
        <v>20</v>
      </c>
      <c r="K25" s="4" t="s">
        <v>118</v>
      </c>
      <c r="L25" s="8"/>
      <c r="M25" s="8"/>
      <c r="N25" s="8"/>
      <c r="O25" s="8"/>
    </row>
    <row r="26" spans="1:15" ht="85.5">
      <c r="A26" s="19" t="s">
        <v>21</v>
      </c>
      <c r="B26" s="19" t="s">
        <v>115</v>
      </c>
      <c r="C26" s="21" t="str">
        <f t="shared" si="1"/>
        <v>WAYUCHEIN (MANAURE)</v>
      </c>
      <c r="D26" s="4" t="s">
        <v>116</v>
      </c>
      <c r="E26" s="4" t="s">
        <v>113</v>
      </c>
      <c r="F26" s="5" t="s">
        <v>18</v>
      </c>
      <c r="G26" s="15" t="s">
        <v>117</v>
      </c>
      <c r="H26" s="10">
        <v>46150</v>
      </c>
      <c r="I26" s="10">
        <v>46151</v>
      </c>
      <c r="J26" s="4" t="s">
        <v>20</v>
      </c>
      <c r="K26" s="5"/>
      <c r="L26" s="8"/>
      <c r="M26" s="8"/>
      <c r="N26" s="8"/>
      <c r="O26" s="8"/>
    </row>
  </sheetData>
  <autoFilter ref="A1:AE26" xr:uid="{258EFDE1-2C5B-491B-9DA1-6F022F7DF923}">
    <sortState xmlns:xlrd2="http://schemas.microsoft.com/office/spreadsheetml/2017/richdata2" ref="A2:AE26">
      <sortCondition ref="H1:H2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1803-D96B-4800-82D6-3361791D0DE7}">
  <dimension ref="A1:E40"/>
  <sheetViews>
    <sheetView tabSelected="1" zoomScale="85" zoomScaleNormal="85" workbookViewId="0">
      <selection activeCell="F15" sqref="F15"/>
    </sheetView>
  </sheetViews>
  <sheetFormatPr baseColWidth="10" defaultRowHeight="15"/>
  <cols>
    <col min="1" max="1" width="38.28515625" customWidth="1"/>
    <col min="2" max="2" width="38" customWidth="1"/>
    <col min="3" max="3" width="35.5703125" customWidth="1"/>
    <col min="4" max="4" width="14.42578125" style="24" customWidth="1"/>
    <col min="5" max="5" width="47.85546875" customWidth="1"/>
  </cols>
  <sheetData>
    <row r="1" spans="1:5" ht="28.5">
      <c r="A1" s="43" t="s">
        <v>3</v>
      </c>
      <c r="B1" s="44" t="s">
        <v>1</v>
      </c>
      <c r="C1" s="45" t="s">
        <v>142</v>
      </c>
      <c r="D1" s="46" t="s">
        <v>144</v>
      </c>
      <c r="E1" s="45" t="s">
        <v>9</v>
      </c>
    </row>
    <row r="2" spans="1:5">
      <c r="A2" s="47" t="s">
        <v>143</v>
      </c>
      <c r="B2" s="21" t="s">
        <v>119</v>
      </c>
      <c r="C2" s="22" t="s">
        <v>24</v>
      </c>
      <c r="D2" s="48">
        <v>2</v>
      </c>
      <c r="E2" s="48"/>
    </row>
    <row r="3" spans="1:5" ht="15.75" thickBot="1">
      <c r="A3" s="49"/>
      <c r="B3" s="27" t="s">
        <v>120</v>
      </c>
      <c r="C3" s="28" t="s">
        <v>18</v>
      </c>
      <c r="D3" s="50">
        <v>2</v>
      </c>
      <c r="E3" s="50"/>
    </row>
    <row r="4" spans="1:5" ht="2.25" customHeight="1" thickBot="1">
      <c r="A4" s="31"/>
      <c r="B4" s="32"/>
      <c r="C4" s="33"/>
      <c r="D4" s="34"/>
      <c r="E4" s="34"/>
    </row>
    <row r="5" spans="1:5">
      <c r="A5" s="51" t="s">
        <v>145</v>
      </c>
      <c r="B5" s="29" t="s">
        <v>121</v>
      </c>
      <c r="C5" s="30" t="s">
        <v>24</v>
      </c>
      <c r="D5" s="52">
        <v>1</v>
      </c>
      <c r="E5" s="52"/>
    </row>
    <row r="6" spans="1:5" ht="28.5" customHeight="1">
      <c r="A6" s="51"/>
      <c r="B6" s="36" t="s">
        <v>122</v>
      </c>
      <c r="C6" s="37" t="s">
        <v>18</v>
      </c>
      <c r="D6" s="53">
        <v>2</v>
      </c>
      <c r="E6" s="53" t="s">
        <v>158</v>
      </c>
    </row>
    <row r="7" spans="1:5" ht="28.5" customHeight="1" thickBot="1">
      <c r="A7" s="54"/>
      <c r="B7" s="55" t="s">
        <v>123</v>
      </c>
      <c r="C7" s="38" t="s">
        <v>24</v>
      </c>
      <c r="D7" s="56">
        <v>1</v>
      </c>
      <c r="E7" s="56" t="s">
        <v>159</v>
      </c>
    </row>
    <row r="8" spans="1:5" ht="2.25" customHeight="1" thickBot="1">
      <c r="A8" s="31"/>
      <c r="B8" s="32"/>
      <c r="C8" s="33"/>
      <c r="D8" s="34"/>
      <c r="E8" s="34"/>
    </row>
    <row r="9" spans="1:5">
      <c r="A9" s="47" t="s">
        <v>146</v>
      </c>
      <c r="B9" s="55" t="s">
        <v>123</v>
      </c>
      <c r="C9" s="38" t="s">
        <v>24</v>
      </c>
      <c r="D9" s="56">
        <v>1</v>
      </c>
      <c r="E9" s="56" t="s">
        <v>160</v>
      </c>
    </row>
    <row r="10" spans="1:5">
      <c r="A10" s="49"/>
      <c r="B10" s="25" t="s">
        <v>124</v>
      </c>
      <c r="C10" s="22" t="s">
        <v>24</v>
      </c>
      <c r="D10" s="48">
        <v>1</v>
      </c>
      <c r="E10" s="48"/>
    </row>
    <row r="11" spans="1:5">
      <c r="A11" s="49"/>
      <c r="B11" s="25" t="s">
        <v>125</v>
      </c>
      <c r="C11" s="23" t="s">
        <v>18</v>
      </c>
      <c r="D11" s="48">
        <v>2</v>
      </c>
      <c r="E11" s="48"/>
    </row>
    <row r="12" spans="1:5" ht="15.75" thickBot="1">
      <c r="A12" s="57"/>
      <c r="B12" s="36" t="s">
        <v>122</v>
      </c>
      <c r="C12" s="37" t="s">
        <v>18</v>
      </c>
      <c r="D12" s="53">
        <v>1</v>
      </c>
      <c r="E12" s="53" t="s">
        <v>162</v>
      </c>
    </row>
    <row r="13" spans="1:5" ht="2.25" customHeight="1" thickBot="1">
      <c r="A13" s="31"/>
      <c r="B13" s="32"/>
      <c r="C13" s="33"/>
      <c r="D13" s="34"/>
      <c r="E13" s="34"/>
    </row>
    <row r="14" spans="1:5">
      <c r="A14" s="47" t="s">
        <v>147</v>
      </c>
      <c r="B14" s="26" t="s">
        <v>126</v>
      </c>
      <c r="C14" s="23" t="s">
        <v>18</v>
      </c>
      <c r="D14" s="48">
        <v>2</v>
      </c>
      <c r="E14" s="48"/>
    </row>
    <row r="15" spans="1:5">
      <c r="A15" s="49"/>
      <c r="B15" s="26" t="s">
        <v>127</v>
      </c>
      <c r="C15" s="22" t="s">
        <v>24</v>
      </c>
      <c r="D15" s="48">
        <v>0</v>
      </c>
      <c r="E15" s="48"/>
    </row>
    <row r="16" spans="1:5" ht="30">
      <c r="A16" s="49"/>
      <c r="B16" s="26" t="s">
        <v>128</v>
      </c>
      <c r="C16" s="22" t="s">
        <v>24</v>
      </c>
      <c r="D16" s="48">
        <v>1</v>
      </c>
      <c r="E16" s="67" t="s">
        <v>163</v>
      </c>
    </row>
    <row r="17" spans="1:5" ht="15.75" thickBot="1">
      <c r="A17" s="57"/>
      <c r="B17" s="64" t="s">
        <v>129</v>
      </c>
      <c r="C17" s="65" t="s">
        <v>18</v>
      </c>
      <c r="D17" s="66">
        <v>2</v>
      </c>
      <c r="E17" s="66"/>
    </row>
    <row r="18" spans="1:5" ht="2.25" customHeight="1" thickBot="1">
      <c r="A18" s="31"/>
      <c r="B18" s="32"/>
      <c r="C18" s="33"/>
      <c r="D18" s="34"/>
      <c r="E18" s="34"/>
    </row>
    <row r="19" spans="1:5">
      <c r="A19" s="47" t="s">
        <v>148</v>
      </c>
      <c r="B19" s="69" t="s">
        <v>130</v>
      </c>
      <c r="C19" s="70" t="s">
        <v>24</v>
      </c>
      <c r="D19" s="71">
        <v>1</v>
      </c>
      <c r="E19" s="71"/>
    </row>
    <row r="20" spans="1:5">
      <c r="A20" s="49"/>
      <c r="B20" s="4" t="s">
        <v>131</v>
      </c>
      <c r="C20" s="23" t="s">
        <v>18</v>
      </c>
      <c r="D20" s="48">
        <v>2</v>
      </c>
      <c r="E20" s="48"/>
    </row>
    <row r="21" spans="1:5" ht="15.75" thickBot="1">
      <c r="A21" s="57"/>
      <c r="B21" s="4" t="s">
        <v>132</v>
      </c>
      <c r="C21" s="23" t="s">
        <v>18</v>
      </c>
      <c r="D21" s="48">
        <v>2</v>
      </c>
      <c r="E21" s="48"/>
    </row>
    <row r="22" spans="1:5" ht="2.25" customHeight="1" thickBot="1">
      <c r="A22" s="31"/>
      <c r="B22" s="32"/>
      <c r="C22" s="33"/>
      <c r="D22" s="34"/>
      <c r="E22" s="34"/>
    </row>
    <row r="23" spans="1:5">
      <c r="A23" s="47" t="s">
        <v>149</v>
      </c>
      <c r="B23" s="69" t="s">
        <v>130</v>
      </c>
      <c r="C23" s="70" t="s">
        <v>24</v>
      </c>
      <c r="D23" s="71">
        <v>1</v>
      </c>
      <c r="E23" s="71"/>
    </row>
    <row r="24" spans="1:5">
      <c r="A24" s="51"/>
      <c r="B24" s="64" t="s">
        <v>129</v>
      </c>
      <c r="C24" s="65" t="s">
        <v>18</v>
      </c>
      <c r="D24" s="66">
        <v>1</v>
      </c>
      <c r="E24" s="66" t="s">
        <v>161</v>
      </c>
    </row>
    <row r="25" spans="1:5" ht="28.5" customHeight="1" thickBot="1">
      <c r="A25" s="57"/>
      <c r="B25" s="39" t="s">
        <v>133</v>
      </c>
      <c r="C25" s="35" t="s">
        <v>18</v>
      </c>
      <c r="D25" s="58">
        <v>2</v>
      </c>
      <c r="E25" s="68" t="s">
        <v>164</v>
      </c>
    </row>
    <row r="26" spans="1:5" ht="2.25" customHeight="1" thickBot="1">
      <c r="A26" s="31"/>
      <c r="B26" s="40"/>
      <c r="C26" s="41"/>
      <c r="D26" s="42"/>
      <c r="E26" s="42"/>
    </row>
    <row r="27" spans="1:5">
      <c r="A27" s="47" t="s">
        <v>150</v>
      </c>
      <c r="B27" s="39" t="s">
        <v>133</v>
      </c>
      <c r="C27" s="35" t="s">
        <v>18</v>
      </c>
      <c r="D27" s="58">
        <v>1</v>
      </c>
      <c r="E27" s="58"/>
    </row>
    <row r="28" spans="1:5" ht="15.75" thickBot="1">
      <c r="A28" s="57"/>
      <c r="B28" s="4" t="s">
        <v>134</v>
      </c>
      <c r="C28" s="23" t="s">
        <v>18</v>
      </c>
      <c r="D28" s="48">
        <v>3</v>
      </c>
      <c r="E28" s="48" t="s">
        <v>155</v>
      </c>
    </row>
    <row r="29" spans="1:5" ht="2.25" customHeight="1" thickBot="1">
      <c r="A29" s="31"/>
      <c r="B29" s="32"/>
      <c r="C29" s="33"/>
      <c r="D29" s="34"/>
      <c r="E29" s="34"/>
    </row>
    <row r="30" spans="1:5">
      <c r="A30" s="47" t="s">
        <v>151</v>
      </c>
      <c r="B30" s="72" t="s">
        <v>135</v>
      </c>
      <c r="C30" s="73" t="s">
        <v>18</v>
      </c>
      <c r="D30" s="74">
        <v>2.5</v>
      </c>
      <c r="E30" s="74" t="s">
        <v>156</v>
      </c>
    </row>
    <row r="31" spans="1:5" ht="15.75" thickBot="1">
      <c r="A31" s="57"/>
      <c r="B31" s="4" t="s">
        <v>136</v>
      </c>
      <c r="C31" s="22" t="s">
        <v>24</v>
      </c>
      <c r="D31" s="48">
        <v>1</v>
      </c>
      <c r="E31" s="48"/>
    </row>
    <row r="32" spans="1:5" ht="2.25" customHeight="1" thickBot="1">
      <c r="A32" s="31"/>
      <c r="B32" s="32"/>
      <c r="C32" s="33"/>
      <c r="D32" s="34"/>
      <c r="E32" s="34"/>
    </row>
    <row r="33" spans="1:5" ht="29.25" thickBot="1">
      <c r="A33" s="59" t="s">
        <v>152</v>
      </c>
      <c r="B33" s="4" t="s">
        <v>137</v>
      </c>
      <c r="C33" s="23" t="s">
        <v>18</v>
      </c>
      <c r="D33" s="48">
        <v>4</v>
      </c>
      <c r="E33" s="48" t="s">
        <v>157</v>
      </c>
    </row>
    <row r="34" spans="1:5" ht="2.25" customHeight="1" thickBot="1">
      <c r="A34" s="31"/>
      <c r="B34" s="32"/>
      <c r="C34" s="33"/>
      <c r="D34" s="34"/>
      <c r="E34" s="34"/>
    </row>
    <row r="35" spans="1:5">
      <c r="A35" s="47" t="s">
        <v>153</v>
      </c>
      <c r="B35" s="72" t="s">
        <v>135</v>
      </c>
      <c r="C35" s="75" t="s">
        <v>24</v>
      </c>
      <c r="D35" s="74">
        <v>1</v>
      </c>
      <c r="E35" s="74"/>
    </row>
    <row r="36" spans="1:5">
      <c r="A36" s="49"/>
      <c r="B36" s="4" t="s">
        <v>138</v>
      </c>
      <c r="C36" s="23" t="s">
        <v>18</v>
      </c>
      <c r="D36" s="48">
        <v>2</v>
      </c>
      <c r="E36" s="48"/>
    </row>
    <row r="37" spans="1:5" ht="15.75" thickBot="1">
      <c r="A37" s="57"/>
      <c r="B37" s="5" t="s">
        <v>139</v>
      </c>
      <c r="C37" s="23" t="s">
        <v>18</v>
      </c>
      <c r="D37" s="48">
        <v>3</v>
      </c>
      <c r="E37" s="48" t="s">
        <v>165</v>
      </c>
    </row>
    <row r="38" spans="1:5" ht="2.25" customHeight="1" thickBot="1">
      <c r="A38" s="31"/>
      <c r="B38" s="32"/>
      <c r="C38" s="33"/>
      <c r="D38" s="34"/>
      <c r="E38" s="34"/>
    </row>
    <row r="39" spans="1:5">
      <c r="A39" s="47" t="s">
        <v>154</v>
      </c>
      <c r="B39" s="19" t="s">
        <v>140</v>
      </c>
      <c r="C39" s="23" t="s">
        <v>18</v>
      </c>
      <c r="D39" s="48">
        <v>2</v>
      </c>
      <c r="E39" s="48" t="s">
        <v>118</v>
      </c>
    </row>
    <row r="40" spans="1:5" ht="15.75" thickBot="1">
      <c r="A40" s="60"/>
      <c r="B40" s="61" t="s">
        <v>141</v>
      </c>
      <c r="C40" s="62" t="s">
        <v>18</v>
      </c>
      <c r="D40" s="63">
        <v>2</v>
      </c>
      <c r="E40" s="63"/>
    </row>
  </sheetData>
  <mergeCells count="10">
    <mergeCell ref="A19:A21"/>
    <mergeCell ref="A27:A28"/>
    <mergeCell ref="A23:A25"/>
    <mergeCell ref="A30:A31"/>
    <mergeCell ref="A35:A37"/>
    <mergeCell ref="A39:A40"/>
    <mergeCell ref="A2:A3"/>
    <mergeCell ref="A5:A7"/>
    <mergeCell ref="A9:A12"/>
    <mergeCell ref="A14: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 bonivento brito</dc:creator>
  <cp:lastModifiedBy>andres felipe bonivento brito</cp:lastModifiedBy>
  <dcterms:created xsi:type="dcterms:W3CDTF">2026-05-15T04:14:36Z</dcterms:created>
  <dcterms:modified xsi:type="dcterms:W3CDTF">2026-05-18T19:15:45Z</dcterms:modified>
</cp:coreProperties>
</file>